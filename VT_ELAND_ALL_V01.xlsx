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USER\Desktop\NB\04.11.25\ELAND-main\ELAND-main\"/>
    </mc:Choice>
  </mc:AlternateContent>
  <xr:revisionPtr revIDLastSave="0" documentId="13_ncr:1_{35C8040C-FC77-453C-B22B-916EB19665DF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1" l="1"/>
  <c r="H12" i="1"/>
  <c r="H10" i="1"/>
  <c r="H9" i="1"/>
  <c r="I19" i="2"/>
  <c r="I17" i="2"/>
  <c r="I15" i="2"/>
  <c r="I14" i="2"/>
  <c r="I11" i="2"/>
  <c r="I10" i="2"/>
  <c r="F9" i="9"/>
  <c r="E6" i="13"/>
  <c r="D6" i="13"/>
  <c r="C6" i="13"/>
  <c r="B6" i="13"/>
  <c r="C9" i="9"/>
  <c r="C10" i="9" s="1"/>
  <c r="C11" i="9" s="1"/>
  <c r="C12" i="9" s="1"/>
  <c r="C13" i="9" s="1"/>
  <c r="C14" i="9" s="1"/>
  <c r="C15" i="9" s="1"/>
  <c r="C16" i="9" s="1"/>
  <c r="C17" i="9" s="1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<sst xmlns="http://schemas.openxmlformats.org/spreadsheetml/2006/main" count="334" uniqueCount="198">
  <si>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</si>
  <si>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</si>
  <si>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</si>
  <si>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</si>
  <si>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</si>
  <si>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</si>
  <si>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</si>
  <si>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</si>
  <si>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</si>
  <si>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</si>
  <si>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</si>
  <si>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</si>
  <si>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</si>
  <si>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</si>
  <si>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</si>
  <si>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</si>
  <si>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</si>
  <si>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</si>
  <si>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</si>
  <si>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</si>
  <si>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</si>
  <si>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</si>
  <si>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</si>
  <si>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</si>
  <si>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</si>
  <si>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</si>
  <si>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</si>
  <si>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</si>
  <si>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</si>
  <si>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</si>
  <si>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</si>
  <si>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</si>
  <si>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</si>
  <si>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</si>
  <si>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</si>
  <si>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</si>
  <si>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</si>
  <si>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</si>
  <si>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</si>
  <si>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</si>
  <si>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</si>
  <si>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</si>
  <si>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</si>
  <si>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</si>
  <si>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</si>
  <si>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</si>
  <si>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</si>
  <si>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</si>
  <si>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</si>
  <si>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</si>
  <si>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</si>
  <si>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</si>
  <si>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</si>
  <si>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</si>
  <si>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</si>
  <si>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</si>
  <si>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</si>
  <si>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</si>
  <si>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</si>
  <si>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</si>
  <si>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</si>
  <si>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</si>
  <si>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</si>
  <si>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</si>
  <si>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</si>
  <si>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</si>
  <si>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</si>
  <si>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</si>
  <si>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</si>
  <si>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</si>
  <si>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</si>
  <si>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</si>
  <si>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</si>
  <si>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</si>
  <si>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</si>
  <si>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</si>
  <si>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</si>
  <si>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</si>
  <si>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</si>
  <si>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</si>
  <si>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</si>
  <si>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</si>
  <si>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</si>
  <si>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</si>
  <si>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</si>
  <si>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</si>
  <si>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</si>
  <si>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</si>
  <si>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</si>
  <si>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</si>
  <si>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</si>
  <si>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</si>
  <si>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</si>
  <si>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</si>
  <si>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</si>
  <si>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</si>
  <si>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</si>
  <si>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</si>
  <si>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</si>
  <si>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</si>
  <si>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</si>
  <si>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</si>
  <si>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</si>
  <si>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</si>
  <si>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</si>
  <si>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</si>
  <si>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</si>
  <si>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</si>
  <si>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</si>
  <si>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</si>
  <si>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</si>
  <si>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</si>
  <si>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</si>
  <si>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</si>
  <si>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</si>
  <si>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</si>
  <si>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</si>
  <si>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</si>
  <si>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</si>
  <si>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</si>
  <si>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</si>
  <si>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</si>
  <si>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</si>
  <si>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</si>
  <si>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</si>
  <si>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</si>
  <si>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</si>
  <si>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</si>
  <si>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</si>
  <si>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</si>
  <si>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</si>
  <si>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</si>
  <si>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</si>
  <si>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</si>
  <si>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</si>
  <si>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</si>
  <si>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</si>
  <si>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</si>
  <si>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</si>
  <si>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</si>
  <si>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</si>
  <si>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</si>
  <si>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</si>
  <si>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</si>
  <si>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</si>
  <si>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</si>
  <si>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</si>
  <si>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</si>
  <si>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</si>
  <si>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</si>
  <si>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</si>
  <si>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</si>
  <si>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</si>
  <si>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</si>
  <si>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</si>
  <si>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</si>
  <si>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</si>
  <si>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</si>
  <si>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</si>
  <si>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</si>
  <si>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</si>
  <si>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</si>
  <si>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</si>
  <si>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</si>
  <si>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</si>
  <si>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</si>
  <si>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</si>
  <si>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</si>
  <si>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</si>
  <si>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</si>
  <si>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</si>
  <si>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</si>
  <si>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</si>
  <si>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</si>
  <si>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</si>
  <si>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</si>
  <si>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</si>
  <si>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</si>
  <si>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</si>
  <si>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</si>
  <si>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</si>
  <si>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</si>
  <si>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</si>
  <si>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</si>
  <si>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</si>
  <si>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</si>
  <si>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</si>
  <si>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</si>
  <si>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</si>
  <si>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Timeslice</t>
  </si>
  <si>
    <t>S1W1D1</t>
  </si>
  <si>
    <t>S1W1D2</t>
  </si>
  <si>
    <t>S1W2D1</t>
  </si>
  <si>
    <t>S1W2D2</t>
  </si>
  <si>
    <t>S2W1D1</t>
  </si>
  <si>
    <t>S2W1D2</t>
  </si>
  <si>
    <t>S2W2D1</t>
  </si>
  <si>
    <t>S2W2D2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</si>
</sst>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4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0"/>
      <color rgb="FF010000"/>
      <name val="Arial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11">
    <xf numFmtId="0" fontId="0" fillId="0" borderId="0"/>
    <xf numFmtId="0" fontId="3" fillId="0" borderId="0"/>
    <xf numFmtId="0" fontId="3" fillId="0" borderId="0"/>
    <xf numFmtId="0" fontId="16" fillId="0" borderId="0"/>
    <xf numFmtId="9" fontId="21" fillId="0" borderId="0" applyFont="0" applyFill="0" applyBorder="0" applyAlignment="0" applyProtection="0"/>
    <xf numFmtId="0" fontId="16" fillId="0" borderId="0"/>
    <xf numFmtId="0" fontId="22" fillId="0" borderId="0"/>
    <xf numFmtId="0" fontId="16" fillId="0" borderId="0"/>
    <xf numFmtId="0" fontId="21" fillId="0" borderId="0"/>
    <xf numFmtId="0" fontId="16" fillId="0" borderId="0"/>
    <xf numFmtId="0" fontId="16" fillId="0" borderId="0"/>
  </cellStyleXfs>
  <cellXfs count="126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9" fontId="18" fillId="3" borderId="3" xfId="4" applyFont="1" applyFill="1" applyBorder="1"/>
    <xf numFmtId="0" fontId="0" fillId="0" borderId="0" xfId="0"/>
    <xf numFmtId="0" fontId="23" fillId="9" borderId="3" xfId="0" applyFont="1" applyFill="1" applyBorder="1"/>
  </cellXfs>
  <cellStyles count="11">
    <cellStyle name="Normal 10" xfId="1" xr:uid="{8AA69BA5-D233-441B-9028-16280C6B1AA6}"/>
    <cellStyle name="Normal 10 2" xfId="6" xr:uid="{C06890AB-DA8E-4D81-A9C1-1E1B56476F58}"/>
    <cellStyle name="Normal 2" xfId="5" xr:uid="{44BC5BE4-CEE6-435A-8FEE-0B76656F34ED}"/>
    <cellStyle name="Normal 39 2 2" xfId="3" xr:uid="{3239FB62-2CA0-4815-BEFB-A7203B672581}"/>
    <cellStyle name="Normal 4" xfId="2" xr:uid="{137A5599-82BA-4049-805F-5468140AB07A}"/>
    <cellStyle name="Normalny" xfId="0" builtinId="0"/>
    <cellStyle name="Normalny 11" xfId="9" xr:uid="{9FBC0BDC-6F15-426D-BE54-49DF71CF4F00}"/>
    <cellStyle name="Normalny 12" xfId="8" xr:uid="{3777C553-B55A-488E-8BE8-8DE95217663F}"/>
    <cellStyle name="Normalny 2" xfId="7" xr:uid="{D36888AA-1FD2-48F7-B999-8B2964B0A013}"/>
    <cellStyle name="Normalny 2 3" xfId="10" xr:uid="{420A2541-94DD-4B2E-B160-0F5A57314DD6}"/>
    <cellStyle name="Procentowy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10" t="s">
        <v>91</v>
      </c>
      <c r="G2" s="110"/>
      <c r="H2" s="110"/>
      <c r="I2" s="110"/>
      <c r="J2" s="110"/>
      <c r="K2" s="110"/>
      <c r="L2" s="110"/>
      <c r="M2" s="110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F33" sqref="F33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 t="s">
        <v>186</v>
      </c>
      <c r="I8" s="21"/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3" t="str">
        <f>H8</f>
        <v>SEASON</v>
      </c>
      <c r="I9" s="23"/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3" t="str">
        <f>H9</f>
        <v>SEASON</v>
      </c>
      <c r="I10" s="23"/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 t="s">
        <v>187</v>
      </c>
      <c r="I11" s="63"/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 t="str">
        <f>H11</f>
        <v>DAYNITE</v>
      </c>
      <c r="I12" s="13"/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 t="str">
        <f>H12</f>
        <v>DAYNITE</v>
      </c>
      <c r="I13" s="13"/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11" t="s">
        <v>134</v>
      </c>
      <c r="D17" s="111"/>
      <c r="E17" s="111"/>
    </row>
    <row r="18" spans="3:5" x14ac:dyDescent="0.25">
      <c r="C18" s="101" t="s">
        <v>140</v>
      </c>
      <c r="D18" s="112" t="s">
        <v>141</v>
      </c>
      <c r="E18" s="113"/>
    </row>
    <row r="19" spans="3:5" x14ac:dyDescent="0.25">
      <c r="C19" s="98" t="s">
        <v>15</v>
      </c>
      <c r="D19" s="116" t="s">
        <v>139</v>
      </c>
      <c r="E19" s="116"/>
    </row>
    <row r="20" spans="3:5" x14ac:dyDescent="0.25">
      <c r="C20" s="99" t="s">
        <v>137</v>
      </c>
      <c r="D20" s="115" t="s">
        <v>142</v>
      </c>
      <c r="E20" s="115"/>
    </row>
    <row r="21" spans="3:5" x14ac:dyDescent="0.25">
      <c r="C21" s="98" t="s">
        <v>138</v>
      </c>
      <c r="D21" s="116" t="s">
        <v>143</v>
      </c>
      <c r="E21" s="116"/>
    </row>
    <row r="22" spans="3:5" x14ac:dyDescent="0.25">
      <c r="C22" s="99" t="s">
        <v>144</v>
      </c>
      <c r="D22" s="115" t="s">
        <v>146</v>
      </c>
      <c r="E22" s="115"/>
    </row>
    <row r="23" spans="3:5" ht="15.75" thickBot="1" x14ac:dyDescent="0.3">
      <c r="C23" s="100" t="s">
        <v>145</v>
      </c>
      <c r="D23" s="114" t="s">
        <v>147</v>
      </c>
      <c r="E23" s="114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zoomScaleNormal="100" workbookViewId="0">
      <selection activeCell="F32" sqref="F32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 t="str">
        <f>I9</f>
        <v>SEASON</v>
      </c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 t="str">
        <f>I10</f>
        <v>SEASON</v>
      </c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 t="str">
        <f>I13</f>
        <v>DAYNITE</v>
      </c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 t="str">
        <f>I14</f>
        <v>DAYNITE</v>
      </c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74" t="str">
        <f>I15</f>
        <v>DAYNITE</v>
      </c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74" t="str">
        <f>I17</f>
        <v>DAYNITE</v>
      </c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11" t="s">
        <v>166</v>
      </c>
      <c r="D23" s="111"/>
      <c r="E23" s="111"/>
    </row>
    <row r="24" spans="2:12" ht="14.45" customHeight="1" x14ac:dyDescent="0.25">
      <c r="C24" s="24" t="s">
        <v>167</v>
      </c>
      <c r="D24" s="118" t="s">
        <v>141</v>
      </c>
      <c r="E24" s="119"/>
    </row>
    <row r="25" spans="2:12" x14ac:dyDescent="0.25">
      <c r="C25" s="102" t="s">
        <v>148</v>
      </c>
      <c r="D25" s="122" t="s">
        <v>164</v>
      </c>
      <c r="E25" s="122"/>
    </row>
    <row r="26" spans="2:12" x14ac:dyDescent="0.25">
      <c r="C26" s="99" t="s">
        <v>154</v>
      </c>
      <c r="D26" s="120" t="s">
        <v>162</v>
      </c>
      <c r="E26" s="120"/>
    </row>
    <row r="27" spans="2:12" x14ac:dyDescent="0.25">
      <c r="C27" s="98" t="s">
        <v>152</v>
      </c>
      <c r="D27" s="121" t="s">
        <v>160</v>
      </c>
      <c r="E27" s="121"/>
    </row>
    <row r="28" spans="2:12" x14ac:dyDescent="0.25">
      <c r="C28" s="99" t="s">
        <v>151</v>
      </c>
      <c r="D28" s="120" t="s">
        <v>159</v>
      </c>
      <c r="E28" s="120"/>
    </row>
    <row r="29" spans="2:12" x14ac:dyDescent="0.25">
      <c r="C29" s="98" t="s">
        <v>150</v>
      </c>
      <c r="D29" s="121" t="s">
        <v>158</v>
      </c>
      <c r="E29" s="121"/>
    </row>
    <row r="30" spans="2:12" x14ac:dyDescent="0.25">
      <c r="C30" s="99" t="s">
        <v>157</v>
      </c>
      <c r="D30" s="120" t="s">
        <v>165</v>
      </c>
      <c r="E30" s="120"/>
    </row>
    <row r="31" spans="2:12" x14ac:dyDescent="0.25">
      <c r="C31" s="98" t="s">
        <v>153</v>
      </c>
      <c r="D31" s="121" t="s">
        <v>161</v>
      </c>
      <c r="E31" s="121"/>
    </row>
    <row r="32" spans="2:12" x14ac:dyDescent="0.25">
      <c r="C32" s="99" t="s">
        <v>149</v>
      </c>
      <c r="D32" s="120" t="s">
        <v>156</v>
      </c>
      <c r="E32" s="120"/>
    </row>
    <row r="33" spans="3:5" ht="15.75" thickBot="1" x14ac:dyDescent="0.3">
      <c r="C33" s="100" t="s">
        <v>155</v>
      </c>
      <c r="D33" s="117" t="s">
        <v>163</v>
      </c>
      <c r="E33" s="117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83"/>
      <c r="P11" s="83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6.25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8.2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25"/>
  <sheetViews>
    <sheetView tabSelected="1" workbookViewId="0">
      <selection activeCell="H12" sqref="H12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6" ht="15" customHeight="1" x14ac:dyDescent="0.25"/>
    <row r="2" spans="2:6" ht="15.75" x14ac:dyDescent="0.25">
      <c r="C2" s="4" t="s">
        <v>117</v>
      </c>
      <c r="D2" s="5"/>
      <c r="E2" s="6"/>
    </row>
    <row r="3" spans="2:6" ht="15.75" thickBot="1" x14ac:dyDescent="0.3"/>
    <row r="4" spans="2:6" ht="18" customHeight="1" thickBot="1" x14ac:dyDescent="0.3">
      <c r="B4" s="28"/>
      <c r="C4" s="75"/>
      <c r="D4" s="76"/>
      <c r="E4" s="77"/>
      <c r="F4" s="33"/>
    </row>
    <row r="5" spans="2:6" ht="18.75" customHeight="1" thickBot="1" x14ac:dyDescent="0.3">
      <c r="B5" s="29"/>
      <c r="C5" s="88" t="s">
        <v>41</v>
      </c>
      <c r="D5" s="55"/>
      <c r="E5" s="89"/>
      <c r="F5" s="82"/>
    </row>
    <row r="6" spans="2:6" ht="15.75" thickBot="1" x14ac:dyDescent="0.3">
      <c r="B6" s="29"/>
      <c r="C6" s="86" t="s">
        <v>2</v>
      </c>
      <c r="D6" s="87" t="s">
        <v>118</v>
      </c>
      <c r="E6" t="s">
        <v>189</v>
      </c>
      <c r="F6" s="85">
        <v>2025</v>
      </c>
    </row>
    <row r="7" spans="2:6" ht="38.25" x14ac:dyDescent="0.25">
      <c r="B7" s="29"/>
      <c r="C7" s="90" t="s">
        <v>119</v>
      </c>
      <c r="D7" s="91" t="s">
        <v>118</v>
      </c>
      <c r="F7" s="92" t="s">
        <v>120</v>
      </c>
    </row>
    <row r="8" spans="2:6" ht="18.75" customHeight="1" x14ac:dyDescent="0.25">
      <c r="B8" s="29"/>
      <c r="C8" s="93" t="s">
        <v>50</v>
      </c>
      <c r="D8" s="94"/>
      <c r="E8" s="94"/>
      <c r="F8" s="95" t="s">
        <v>130</v>
      </c>
    </row>
    <row r="9" spans="2:6" ht="18.75" customHeight="1" thickBot="1" x14ac:dyDescent="0.3">
      <c r="B9" s="29"/>
      <c r="C9" s="80" t="str">
        <f>FI_Comm!E13</f>
        <v>ELC_FIN</v>
      </c>
      <c r="D9" s="13" t="s">
        <v>121</v>
      </c>
      <c r="F9" s="81">
        <f>100/GRID!H6</f>
        <v>113.63636363636364</v>
      </c>
    </row>
    <row r="10" spans="2:6" ht="18.75" customHeight="1" thickBot="1" x14ac:dyDescent="0.3">
      <c r="B10" s="29"/>
      <c r="C10" s="13" t="str">
        <f>C9</f>
        <v>ELC_FIN</v>
      </c>
      <c r="D10" s="13" t="s">
        <v>188</v>
      </c>
      <c r="E10" s="125" t="s">
        <v>190</v>
      </c>
      <c r="F10" s="123">
        <v>0</v>
      </c>
    </row>
    <row r="11" spans="2:6" ht="18.75" customHeight="1" thickBot="1" x14ac:dyDescent="0.3">
      <c r="B11" s="29"/>
      <c r="C11" s="80" t="str">
        <f>C10</f>
        <v>ELC_FIN</v>
      </c>
      <c r="D11" s="13" t="s">
        <v>188</v>
      </c>
      <c r="E11" s="124" t="s">
        <v>191</v>
      </c>
      <c r="F11" s="123">
        <v>0.05</v>
      </c>
    </row>
    <row r="12" spans="2:6" ht="18.75" customHeight="1" thickBot="1" x14ac:dyDescent="0.3">
      <c r="B12" s="29"/>
      <c r="C12" s="13" t="str">
        <f>C11</f>
        <v>ELC_FIN</v>
      </c>
      <c r="D12" s="13" t="s">
        <v>188</v>
      </c>
      <c r="E12" s="124" t="s">
        <v>192</v>
      </c>
      <c r="F12" s="123">
        <v>0.1</v>
      </c>
    </row>
    <row r="13" spans="2:6" ht="18.75" customHeight="1" thickBot="1" x14ac:dyDescent="0.3">
      <c r="B13" s="29"/>
      <c r="C13" s="13" t="str">
        <f>C12</f>
        <v>ELC_FIN</v>
      </c>
      <c r="D13" s="13" t="s">
        <v>188</v>
      </c>
      <c r="E13" s="124" t="s">
        <v>193</v>
      </c>
      <c r="F13" s="123">
        <v>0.15</v>
      </c>
    </row>
    <row r="14" spans="2:6" ht="18.75" customHeight="1" thickBot="1" x14ac:dyDescent="0.3">
      <c r="B14" s="29"/>
      <c r="C14" s="13" t="str">
        <f>C13</f>
        <v>ELC_FIN</v>
      </c>
      <c r="D14" s="13" t="s">
        <v>188</v>
      </c>
      <c r="E14" s="124" t="s">
        <v>194</v>
      </c>
      <c r="F14" s="123">
        <v>0.2</v>
      </c>
    </row>
    <row r="15" spans="2:6" ht="18.75" customHeight="1" thickBot="1" x14ac:dyDescent="0.3">
      <c r="B15" s="29"/>
      <c r="C15" s="13" t="str">
        <f>C14</f>
        <v>ELC_FIN</v>
      </c>
      <c r="D15" s="13" t="s">
        <v>188</v>
      </c>
      <c r="E15" s="124" t="s">
        <v>195</v>
      </c>
      <c r="F15" s="123">
        <v>0.15</v>
      </c>
    </row>
    <row r="16" spans="2:6" ht="18.75" customHeight="1" thickBot="1" x14ac:dyDescent="0.3">
      <c r="B16" s="29"/>
      <c r="C16" s="13" t="str">
        <f>C15</f>
        <v>ELC_FIN</v>
      </c>
      <c r="D16" s="13" t="s">
        <v>188</v>
      </c>
      <c r="E16" s="124" t="s">
        <v>196</v>
      </c>
      <c r="F16" s="123">
        <v>0.2</v>
      </c>
    </row>
    <row r="17" spans="2:12" ht="18.75" customHeight="1" thickBot="1" x14ac:dyDescent="0.3">
      <c r="B17" s="29"/>
      <c r="C17" s="13" t="str">
        <f>C16</f>
        <v>ELC_FIN</v>
      </c>
      <c r="D17" s="13" t="s">
        <v>188</v>
      </c>
      <c r="E17" s="124" t="s">
        <v>197</v>
      </c>
      <c r="F17" s="123">
        <v>0.15</v>
      </c>
    </row>
    <row r="18" spans="2:12" ht="18" customHeight="1" thickBot="1" x14ac:dyDescent="0.3">
      <c r="B18" s="30"/>
      <c r="C18" s="31"/>
      <c r="D18" s="31"/>
      <c r="E18" s="31"/>
      <c r="F18" s="32"/>
    </row>
    <row r="20" spans="2:12" ht="15.75" thickBot="1" x14ac:dyDescent="0.3"/>
    <row r="21" spans="2:12" ht="16.5" thickBot="1" x14ac:dyDescent="0.3">
      <c r="C21" s="54"/>
      <c r="D21" s="55"/>
      <c r="E21" s="55"/>
      <c r="F21" s="65" t="s">
        <v>41</v>
      </c>
      <c r="G21" s="55"/>
      <c r="H21" s="55"/>
      <c r="I21" s="55"/>
      <c r="J21" s="55"/>
      <c r="K21" s="55"/>
      <c r="L21" s="56"/>
    </row>
    <row r="22" spans="2:12" ht="15.75" thickBot="1" x14ac:dyDescent="0.3">
      <c r="C22" s="66" t="s">
        <v>22</v>
      </c>
      <c r="D22" s="12" t="s">
        <v>136</v>
      </c>
      <c r="E22" s="12" t="s">
        <v>102</v>
      </c>
      <c r="F22" s="12" t="s">
        <v>42</v>
      </c>
      <c r="G22" s="12" t="s">
        <v>105</v>
      </c>
      <c r="H22" s="12" t="s">
        <v>106</v>
      </c>
      <c r="I22" s="12" t="s">
        <v>104</v>
      </c>
      <c r="J22" s="12" t="s">
        <v>107</v>
      </c>
      <c r="K22" s="12" t="s">
        <v>108</v>
      </c>
      <c r="L22" s="67" t="s">
        <v>109</v>
      </c>
    </row>
    <row r="23" spans="2:12" ht="38.25" x14ac:dyDescent="0.25">
      <c r="C23" s="68" t="s">
        <v>43</v>
      </c>
      <c r="D23" s="14" t="s">
        <v>32</v>
      </c>
      <c r="E23" s="14" t="s">
        <v>103</v>
      </c>
      <c r="F23" s="14" t="s">
        <v>44</v>
      </c>
      <c r="G23" s="14" t="s">
        <v>110</v>
      </c>
      <c r="H23" s="14" t="s">
        <v>111</v>
      </c>
      <c r="I23" s="14" t="s">
        <v>112</v>
      </c>
      <c r="J23" s="14" t="s">
        <v>113</v>
      </c>
      <c r="K23" s="14" t="s">
        <v>114</v>
      </c>
      <c r="L23" s="69" t="s">
        <v>115</v>
      </c>
    </row>
    <row r="24" spans="2:12" x14ac:dyDescent="0.25">
      <c r="C24" s="78" t="s">
        <v>50</v>
      </c>
      <c r="D24" s="15"/>
      <c r="E24" s="15"/>
      <c r="F24" s="15"/>
      <c r="G24" s="15" t="s">
        <v>69</v>
      </c>
      <c r="H24" s="15" t="s">
        <v>131</v>
      </c>
      <c r="I24" s="15" t="s">
        <v>122</v>
      </c>
      <c r="J24" s="15" t="s">
        <v>122</v>
      </c>
      <c r="K24" s="15" t="s">
        <v>76</v>
      </c>
      <c r="L24" s="79" t="s">
        <v>75</v>
      </c>
    </row>
    <row r="25" spans="2:12" ht="15.75" thickBot="1" x14ac:dyDescent="0.3">
      <c r="C25" s="109" t="str">
        <f>FI_Process!E19</f>
        <v>DMD_FIN_ELC</v>
      </c>
      <c r="D25" s="109" t="str">
        <f>FI_Process!F19</f>
        <v>Final electricity demand</v>
      </c>
      <c r="E25" s="109" t="str">
        <f>FI_Comm!E12</f>
        <v>ELC_LV</v>
      </c>
      <c r="F25" s="109" t="str">
        <f>FI_Comm!E13</f>
        <v>ELC_FIN</v>
      </c>
      <c r="G25" s="109"/>
      <c r="H25" s="109">
        <v>1</v>
      </c>
      <c r="I25" s="109">
        <v>1</v>
      </c>
      <c r="J25" s="109"/>
      <c r="K25" s="109"/>
      <c r="L25" s="109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USER</cp:lastModifiedBy>
  <dcterms:created xsi:type="dcterms:W3CDTF">2015-06-05T18:17:20Z</dcterms:created>
  <dcterms:modified xsi:type="dcterms:W3CDTF">2025-11-04T08:26:55Z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