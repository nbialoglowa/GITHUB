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USER\Downloads\ELAND-main\ELAND-main\SubRES_TMPL\"/>
    </mc:Choice>
  </mc:AlternateContent>
  <xr:revisionPtr revIDLastSave="0" documentId="13_ncr:1_{95B6350B-20DB-4C23-A513-9914592B57D1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</workbook>
</file>

<file path=xl/calcChain.xml><?xml version="1.0" encoding="utf-8"?>
<calcChain xmlns="http://schemas.openxmlformats.org/spreadsheetml/2006/main">
  <c r="H9" i="134" l="1"/>
  <c r="E9" i="134"/>
  <c r="H10" i="127"/>
  <c r="G10" i="127"/>
  <c r="F10" i="127"/>
  <c r="B9" i="134"/>
  <c r="B10" i="127"/>
  <c r="C10" i="127"/>
  <c r="H9" i="127"/>
  <c r="G9" i="127"/>
  <c r="F9" i="127"/>
  <c r="C9" i="127"/>
  <c r="I9" i="134"/>
  <c r="G9" i="134"/>
  <c r="F9" i="134"/>
  <c r="D9" i="134"/>
  <c r="H9" i="133"/>
  <c r="F9" i="133"/>
  <c r="E9" i="133"/>
  <c r="E8" i="134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<sst xmlns="http://schemas.openxmlformats.org/spreadsheetml/2006/main" count="189" uniqueCount="137">
  <si>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</si>
  <si>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</si>
  <si>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</si>
  <si>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</si>
  <si>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</si>
  <si>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</si>
  <si>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</si>
  <si>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</si>
  <si>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</si>
  <si>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</si>
  <si>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</si>
  <si>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</si>
  <si>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</si>
  <si>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</si>
  <si>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</si>
  <si>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</si>
  <si>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</si>
  <si>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</si>
  <si>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</si>
  <si>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</si>
  <si>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</si>
  <si>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</si>
  <si>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</si>
  <si>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</si>
  <si>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</si>
  <si>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</si>
  <si>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</si>
  <si>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</si>
  <si>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</si>
  <si>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</si>
  <si>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</si>
  <si>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</si>
  <si>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</si>
  <si>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</si>
  <si>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</si>
  <si>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</si>
  <si>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</si>
  <si>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</si>
  <si>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</si>
  <si>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</si>
  <si>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</si>
  <si>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</si>
  <si>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</si>
  <si>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</si>
  <si>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</si>
  <si>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</si>
  <si>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</si>
  <si>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</si>
  <si>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</si>
  <si>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</si>
  <si>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</si>
  <si>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</si>
  <si>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</si>
  <si>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</si>
  <si>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</si>
  <si>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</si>
  <si>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</si>
  <si>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</si>
  <si>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</si>
  <si>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</si>
  <si>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</si>
  <si>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</si>
  <si>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</si>
  <si>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</si>
  <si>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</si>
  <si>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</si>
  <si>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</si>
  <si>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</si>
  <si>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</si>
  <si>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</si>
  <si>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</si>
  <si>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</si>
  <si>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</si>
  <si>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</si>
  <si>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</si>
  <si>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</si>
  <si>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</si>
  <si>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</si>
  <si>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</si>
  <si>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</si>
  <si>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</si>
  <si>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</si>
  <si>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</si>
  <si>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</si>
  <si>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</si>
  <si>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</si>
  <si>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</si>
  <si>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</si>
  <si>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</si>
  <si>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</si>
  <si>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</si>
  <si>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</si>
  <si>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</si>
  <si>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</si>
  <si>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</si>
  <si>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</si>
  <si>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</si>
  <si>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</si>
  <si>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</si>
  <si>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</si>
  <si>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</si>
  <si>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</si>
  <si>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</si>
  <si>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</si>
  <si>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</si>
  <si>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</si>
  <si>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</si>
  <si>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</si>
  <si>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</si>
  <si>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</si>
  <si>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</si>
  <si>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</si>
  <si>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</si>
  <si>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</si>
  <si>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</si>
  <si>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</si>
  <si>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</si>
  <si>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</si>
  <si>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</si>
  <si>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</si>
  <si>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</si>
  <si>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</si>
  <si>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</si>
  <si>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</si>
  <si>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</si>
  <si>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</si>
  <si>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</si>
  <si>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</si>
  <si>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</si>
  <si>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</si>
  <si>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</si>
  <si>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WIND</t>
  </si>
  <si>
    <t>Wind energy</t>
  </si>
  <si>
    <t>MIN_WIND</t>
  </si>
  <si>
    <t>NEW_WIND_PP</t>
  </si>
  <si>
    <t>New Wind Power Plant</t>
  </si>
  <si>
    <t>Wind energy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</si>
</sst>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2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1" fontId="60" fillId="29" borderId="23" xfId="0" applyNumberFormat="1" applyFont="1" applyFill="1" applyBorder="1"/>
    <xf numFmtId="9" fontId="60" fillId="29" borderId="23" xfId="0" applyNumberFormat="1" applyFont="1" applyFill="1" applyBorder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" xfId="0" builtinId="0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rocentowy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90" zoomScaleNormal="90" workbookViewId="0">
      <selection activeCell="D40" sqref="D40"/>
    </sheetView>
  </sheetViews>
  <sheetFormatPr defaultRowHeight="12.75"/>
  <cols>
    <col min="1" max="1" width="2.85546875" customWidth="1"/>
    <col min="2" max="2" width="14.28515625" customWidth="1"/>
    <col min="3" max="3" width="20.8554687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3" customWidth="1"/>
    <col min="11" max="11" width="12.5703125" customWidth="1"/>
  </cols>
  <sheetData>
    <row r="2" spans="1:10" ht="18.75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 t="s">
        <v>9</v>
      </c>
      <c r="C8" s="45" t="s">
        <v>131</v>
      </c>
      <c r="D8" s="45" t="s">
        <v>132</v>
      </c>
      <c r="E8" s="46" t="s">
        <v>89</v>
      </c>
      <c r="F8" s="45"/>
      <c r="G8" s="45" t="s">
        <v>90</v>
      </c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25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5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="90" zoomScaleNormal="90" workbookViewId="0">
      <selection activeCell="H11" sqref="H11"/>
    </sheetView>
  </sheetViews>
  <sheetFormatPr defaultRowHeight="12.75"/>
  <cols>
    <col min="1" max="1" width="2.85546875" customWidth="1"/>
    <col min="2" max="2" width="15.7109375" customWidth="1"/>
    <col min="3" max="3" width="17" customWidth="1"/>
    <col min="4" max="4" width="28.710937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20</v>
      </c>
      <c r="C9" s="51" t="str">
        <f>C8</f>
        <v>PL</v>
      </c>
      <c r="D9" s="51" t="s">
        <v>133</v>
      </c>
      <c r="E9" s="51" t="s">
        <v>136</v>
      </c>
      <c r="F9" s="51" t="str">
        <f>F8</f>
        <v>PJ</v>
      </c>
      <c r="G9" s="51" t="str">
        <f>G7</f>
        <v>PJ/a</v>
      </c>
      <c r="H9" s="51" t="str">
        <f>H7</f>
        <v>SEASON</v>
      </c>
      <c r="I9" s="51"/>
      <c r="J9" s="51"/>
    </row>
    <row r="10" spans="1:10" ht="18.75" customHeight="1">
      <c r="B10" s="47" t="str">
        <f>B17</f>
        <v>ELE</v>
      </c>
      <c r="C10" s="47" t="str">
        <f>C9</f>
        <v>PL</v>
      </c>
      <c r="D10" s="47" t="s">
        <v>134</v>
      </c>
      <c r="E10" s="47" t="s">
        <v>135</v>
      </c>
      <c r="F10" s="47" t="str">
        <f>F9</f>
        <v>PJ</v>
      </c>
      <c r="G10" s="47" t="str">
        <f>G8</f>
        <v>GW</v>
      </c>
      <c r="H10" s="47" t="str">
        <f>H8</f>
        <v>DAYNITE</v>
      </c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5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topLeftCell="B1" zoomScaleNormal="100" workbookViewId="0">
      <selection activeCell="H9" sqref="H9"/>
    </sheetView>
  </sheetViews>
  <sheetFormatPr defaultRowHeight="12.75"/>
  <cols>
    <col min="1" max="1" width="2.85546875" customWidth="1"/>
    <col min="2" max="2" width="27.7109375" customWidth="1"/>
    <col min="3" max="3" width="27.140625" customWidth="1"/>
    <col min="4" max="4" width="16.85546875" customWidth="1"/>
    <col min="5" max="8" width="12.85546875" customWidth="1"/>
    <col min="9" max="9" width="14.28515625" customWidth="1"/>
    <col min="11" max="13" width="15.85546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8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 t="s">
        <v>133</v>
      </c>
      <c r="C9" s="64"/>
      <c r="D9" s="65" t="s">
        <v>131</v>
      </c>
      <c r="E9" s="66">
        <f>E8</f>
        <v>1E-3</v>
      </c>
      <c r="F9" s="66">
        <f>F8</f>
        <v>1E-3</v>
      </c>
      <c r="G9" s="67">
        <v>2025</v>
      </c>
      <c r="H9" s="67">
        <f>H8</f>
        <v>100</v>
      </c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5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5"/>
  <sheetViews>
    <sheetView tabSelected="1" zoomScaleNormal="100" workbookViewId="0">
      <selection activeCell="H10" sqref="H10"/>
    </sheetView>
  </sheetViews>
  <sheetFormatPr defaultRowHeight="12.75"/>
  <cols>
    <col min="1" max="1" width="4.7109375" customWidth="1"/>
    <col min="2" max="2" width="24.7109375" customWidth="1"/>
    <col min="3" max="3" width="22.42578125" customWidth="1"/>
    <col min="4" max="4" width="15.85546875" customWidth="1"/>
    <col min="5" max="9" width="11.42578125" customWidth="1"/>
    <col min="10" max="10" width="16.85546875" customWidth="1"/>
    <col min="11" max="11" width="11.28515625" customWidth="1"/>
  </cols>
  <sheetData>
    <row r="2" spans="2:13" ht="18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tr">
        <f>SEC_Processes!D10</f>
        <v>NEW_WIND_PP</v>
      </c>
      <c r="C9" s="75" t="s">
        <v>135</v>
      </c>
      <c r="D9" s="80" t="str">
        <f>MIN_IMP!D9</f>
        <v>WIND</v>
      </c>
      <c r="E9" s="75" t="str">
        <f>E8</f>
        <v>ELC_HV</v>
      </c>
      <c r="F9" s="81">
        <f>F8</f>
        <v>1</v>
      </c>
      <c r="G9" s="75">
        <f>G8</f>
        <v>31.536000000000001</v>
      </c>
      <c r="H9" s="75">
        <f>H8</f>
        <v>0.12</v>
      </c>
      <c r="I9" s="75">
        <f>I8</f>
        <v>1</v>
      </c>
      <c r="J9" s="75"/>
      <c r="K9" s="51">
        <v>1000</v>
      </c>
      <c r="L9" s="51">
        <v>2025</v>
      </c>
      <c r="M9" s="51"/>
    </row>
    <row r="10" spans="2:13" ht="13.5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2000-12-13T15:53:11Z</dcterms:created>
  <dcterms:modified xsi:type="dcterms:W3CDTF">2025-11-12T07:53:16Z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